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E 2026" sheetId="1" state="visible" r:id="rId3"/>
    <sheet name="Comparativo Mensal" sheetId="2" state="visible" r:id="rId4"/>
    <sheet name="Indicadores Financeiro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<sst xmlns="http://schemas.openxmlformats.org/spreadsheetml/2006/main" count="82" uniqueCount="71">
  <si>
    <t xml:space="preserve">Aurora S.A. — Demonstração do Resultado do Exercício</t>
  </si>
  <si>
    <t xml:space="preserve">Relatório Financeiro Consolidado | Exercício de 2026 (Valores em R$)</t>
  </si>
  <si>
    <t xml:space="preserve">Conta DRE</t>
  </si>
  <si>
    <t xml:space="preserve">Valor (R$)</t>
  </si>
  <si>
    <t xml:space="preserve">% da Receita Bruta</t>
  </si>
  <si>
    <t xml:space="preserve">Receita Bruta</t>
  </si>
  <si>
    <t xml:space="preserve">Deduções da Receita (Impostos sobre Operações / Estornos)</t>
  </si>
  <si>
    <t xml:space="preserve">Receita Líquida</t>
  </si>
  <si>
    <t xml:space="preserve">Custos Operacionais (Captação / Infraestrutura / TI)</t>
  </si>
  <si>
    <t xml:space="preserve">Lucro Bruto</t>
  </si>
  <si>
    <t xml:space="preserve">Despesas Administrativas</t>
  </si>
  <si>
    <t xml:space="preserve">Despesas Comerciais &amp; Marketing</t>
  </si>
  <si>
    <t xml:space="preserve">Despesas Financeiras Líquidas</t>
  </si>
  <si>
    <t xml:space="preserve">Resultado Operacional (EBIT)</t>
  </si>
  <si>
    <t xml:space="preserve">Impostos (IRPJ e CSLL)</t>
  </si>
  <si>
    <t xml:space="preserve">Lucro Líquido do Exercício</t>
  </si>
  <si>
    <t xml:space="preserve">Aurora S.A. — Evolução Mensal do Resultado (2026)</t>
  </si>
  <si>
    <t xml:space="preserve">Detalhamento Mensal de Receita, Custos, Despesas e Lucros (em R$)</t>
  </si>
  <si>
    <t xml:space="preserve">Mês</t>
  </si>
  <si>
    <t xml:space="preserve">Custos Operacionais</t>
  </si>
  <si>
    <t xml:space="preserve">Despesas Operacionais</t>
  </si>
  <si>
    <t xml:space="preserve">Lucro Operacional</t>
  </si>
  <si>
    <t xml:space="preserve">Lucro Líquido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</si>
  <si>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</si>
  <si>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</si>
  <si>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</si>
  <si>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</si>
  <si>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</si>
  <si>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</si>
  <si>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</si>
  <si>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</si>
  <si>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</si>
  <si>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</si>
  <si>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</si>
  <si>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</si>
  <si>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Acumulado</t>
  </si>
  <si>
    <t xml:space="preserve">Aurora S.A. — Indicadores Financeiros &amp; Métricas de Performance</t>
  </si>
  <si>
    <t xml:space="preserve">Visão Sintética de Margens, Eficiência e Métricas Corporativas (2026)</t>
  </si>
  <si>
    <t xml:space="preserve">Indicador</t>
  </si>
  <si>
    <t xml:space="preserve">Fórmula / Critério</t>
  </si>
  <si>
    <t xml:space="preserve">Valor / Percentual</t>
  </si>
  <si>
    <t xml:space="preserve">Receita Total (Líquida)</t>
  </si>
  <si>
    <t xml:space="preserve">Soma da Receita Líquida no Ano</t>
  </si>
  <si>
    <t xml:space="preserve">Receita Média Mensal</t>
  </si>
  <si>
    <t xml:space="preserve">Média da Receita Líquida Mensal</t>
  </si>
  <si>
    <t xml:space="preserve">Crescimento Anual</t>
  </si>
  <si>
    <t xml:space="preserve">Variação em relação ao exercício anterior (2025)</t>
  </si>
  <si>
    <t xml:space="preserve">Margem Bruta</t>
  </si>
  <si>
    <t xml:space="preserve">Lucro Bruto / Receita Líquida</t>
  </si>
  <si>
    <t xml:space="preserve">Margem Operacional</t>
  </si>
  <si>
    <t xml:space="preserve">Resultado Operacional / Receita Líquida</t>
  </si>
  <si>
    <t xml:space="preserve">Margem Líquida</t>
  </si>
  <si>
    <t xml:space="preserve">Lucro Líquido / Receita Líquida</t>
  </si>
  <si>
    <t xml:space="preserve">EBITDA</t>
  </si>
  <si>
    <t xml:space="preserve">Resultado Operacional + Depreciação/Amortização</t>
  </si>
  <si>
    <t xml:space="preserve">Ticket Médio por Cliente</t>
  </si>
  <si>
    <t xml:space="preserve">Receita Líquida / Base de Clientes Ativos (1.850)</t>
  </si>
  <si>
    <t xml:space="preserve">Receita por Colaborador</t>
  </si>
  <si>
    <t xml:space="preserve">Receita Líquida / Colaboradores (420)</t>
  </si>
  <si>
    <t xml:space="preserve">Custo Operacional Médio Mensal</t>
  </si>
  <si>
    <t xml:space="preserve">Média dos Custos Operacionais Mensais</t>
  </si>
  <si>
    <t xml:space="preserve">Aurora S.A. — Painel Executivo Financeiro</t>
  </si>
  <si>
    <t xml:space="preserve">Principais Métricas de Resultado e Indicadores Chave de Desempenho (2026)</t>
  </si>
  <si>
    <t xml:space="preserve">Crescimento do Ano</t>
  </si>
  <si>
    <t xml:space="preserve">Melhor Mês (Faturamento)</t>
  </si>
  <si>
    <t xml:space="preserve">Pior Mês (Faturamento)</t>
  </si>
  <si>
    <t xml:space="preserve">Percentual de Custos</t>
  </si>
  <si>
    <t xml:space="preserve">Percentual de Despesas</t>
  </si>
  <si>
    <t xml:space="preserve">Resumo das Principais Contas DRE</t>
  </si>
  <si>
    <t xml:space="preserve">Valor Consolidado (R$)</t>
  </si>
  <si>
    <t xml:space="preserve">% S/ Receita Líquida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</si>
</sst>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[RED]&quot;(R$ &quot;#,##0.00\);\-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mbria"/>
      <family val="0"/>
      <charset val="1"/>
    </font>
    <font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1F497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52800000</v>
      </c>
      <c r="C5" s="6" t="n">
        <f aca="false">B5/$B$5</f>
        <v>1</v>
      </c>
    </row>
    <row r="6" customFormat="false" ht="15" hidden="false" customHeight="false" outlineLevel="0" collapsed="false">
      <c r="A6" s="4" t="s">
        <v>6</v>
      </c>
      <c r="B6" s="5" t="n">
        <v>-4750000</v>
      </c>
      <c r="C6" s="6" t="n">
        <f aca="false">B6/$B$5</f>
        <v>-0.0899621212121212</v>
      </c>
    </row>
    <row r="7" customFormat="false" ht="15" hidden="false" customHeight="false" outlineLevel="0" collapsed="false">
      <c r="A7" s="7" t="s">
        <v>7</v>
      </c>
      <c r="B7" s="8" t="n">
        <f aca="false">B5+B6</f>
        <v>48050000</v>
      </c>
      <c r="C7" s="9" t="n">
        <f aca="false">B7/$B$5</f>
        <v>0.910037878787879</v>
      </c>
    </row>
    <row r="8" customFormat="false" ht="15" hidden="false" customHeight="false" outlineLevel="0" collapsed="false">
      <c r="A8" s="4" t="s">
        <v>8</v>
      </c>
      <c r="B8" s="5" t="n">
        <v>-18920000</v>
      </c>
      <c r="C8" s="6" t="n">
        <f aca="false">B8/$B$5</f>
        <v>-0.358333333333333</v>
      </c>
    </row>
    <row r="9" customFormat="false" ht="15" hidden="false" customHeight="false" outlineLevel="0" collapsed="false">
      <c r="A9" s="7" t="s">
        <v>9</v>
      </c>
      <c r="B9" s="8" t="n">
        <f aca="false">B7+B8</f>
        <v>29130000</v>
      </c>
      <c r="C9" s="9" t="n">
        <f aca="false">B9/$B$5</f>
        <v>0.551704545454546</v>
      </c>
    </row>
    <row r="10" customFormat="false" ht="15" hidden="false" customHeight="false" outlineLevel="0" collapsed="false">
      <c r="A10" s="4" t="s">
        <v>10</v>
      </c>
      <c r="B10" s="5" t="n">
        <v>-5680000</v>
      </c>
      <c r="C10" s="6" t="n">
        <f aca="false">B10/$B$5</f>
        <v>-0.107575757575758</v>
      </c>
    </row>
    <row r="11" customFormat="false" ht="15" hidden="false" customHeight="false" outlineLevel="0" collapsed="false">
      <c r="A11" s="4" t="s">
        <v>11</v>
      </c>
      <c r="B11" s="5" t="n">
        <v>-5950000</v>
      </c>
      <c r="C11" s="6" t="n">
        <f aca="false">B11/$B$5</f>
        <v>-0.112689393939394</v>
      </c>
    </row>
    <row r="12" customFormat="false" ht="15" hidden="false" customHeight="false" outlineLevel="0" collapsed="false">
      <c r="A12" s="4" t="s">
        <v>12</v>
      </c>
      <c r="B12" s="5" t="n">
        <v>-1120000</v>
      </c>
      <c r="C12" s="6" t="n">
        <f aca="false">B12/$B$5</f>
        <v>-0.0212121212121212</v>
      </c>
    </row>
    <row r="13" customFormat="false" ht="15" hidden="false" customHeight="false" outlineLevel="0" collapsed="false">
      <c r="A13" s="7" t="s">
        <v>13</v>
      </c>
      <c r="B13" s="8" t="n">
        <f aca="false">B9+SUM(B10:B12)</f>
        <v>16380000</v>
      </c>
      <c r="C13" s="9" t="n">
        <f aca="false">B13/$B$5</f>
        <v>0.310227272727273</v>
      </c>
    </row>
    <row r="14" customFormat="false" ht="15" hidden="false" customHeight="false" outlineLevel="0" collapsed="false">
      <c r="A14" s="4" t="s">
        <v>14</v>
      </c>
      <c r="B14" s="5" t="n">
        <v>-3050000</v>
      </c>
      <c r="C14" s="6" t="n">
        <f aca="false">B14/$B$5</f>
        <v>-0.0577651515151515</v>
      </c>
    </row>
    <row r="15" customFormat="false" ht="15" hidden="false" customHeight="false" outlineLevel="0" collapsed="false">
      <c r="A15" s="7" t="s">
        <v>15</v>
      </c>
      <c r="B15" s="8" t="n">
        <f aca="false">B13+B14</f>
        <v>13330000</v>
      </c>
      <c r="C15" s="9" t="n">
        <f aca="false">B15/$B$5</f>
        <v>0.252462121212121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8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15" hidden="false" customHeight="false" outlineLevel="0" collapsed="false">
      <c r="A4" s="3" t="s">
        <v>18</v>
      </c>
      <c r="B4" s="3" t="s">
        <v>7</v>
      </c>
      <c r="C4" s="3" t="s">
        <v>19</v>
      </c>
      <c r="D4" s="3" t="s">
        <v>20</v>
      </c>
      <c r="E4" s="3" t="s">
        <v>21</v>
      </c>
      <c r="F4" s="3" t="s">
        <v>22</v>
      </c>
    </row>
    <row r="5" customFormat="false" ht="15" hidden="false" customHeight="false" outlineLevel="0" collapsed="false">
      <c r="A5" s="4" t="s">
        <v>23</v>
      </c>
      <c r="B5" s="10" t="n">
        <v>3800000</v>
      </c>
      <c r="C5" s="10" t="n">
        <v>1500000</v>
      </c>
      <c r="D5" s="10" t="n">
        <v>1050000</v>
      </c>
      <c r="E5" s="10" t="n">
        <f aca="false">B5-C5-D5</f>
        <v>1250000</v>
      </c>
      <c r="F5" s="10" t="n">
        <f aca="false">E5*0.8</f>
        <v>1000000</v>
      </c>
    </row>
    <row r="6" customFormat="false" ht="15" hidden="false" customHeight="false" outlineLevel="0" collapsed="false">
      <c r="A6" s="4" t="s">
        <v>24</v>
      </c>
      <c r="B6" s="10" t="n">
        <v>3860000</v>
      </c>
      <c r="C6" s="10" t="n">
        <v>1520000</v>
      </c>
      <c r="D6" s="10" t="n">
        <v>1060000</v>
      </c>
      <c r="E6" s="10" t="n">
        <f aca="false">B6-C6-D6</f>
        <v>1280000</v>
      </c>
      <c r="F6" s="10" t="n">
        <f aca="false">E6*0.8</f>
        <v>1024000</v>
      </c>
    </row>
    <row r="7" customFormat="false" ht="15" hidden="false" customHeight="false" outlineLevel="0" collapsed="false">
      <c r="A7" s="4" t="s">
        <v>25</v>
      </c>
      <c r="B7" s="10" t="n">
        <v>4020000</v>
      </c>
      <c r="C7" s="10" t="n">
        <v>1580000</v>
      </c>
      <c r="D7" s="10" t="n">
        <v>1080000</v>
      </c>
      <c r="E7" s="10" t="n">
        <f aca="false">B7-C7-D7</f>
        <v>1360000</v>
      </c>
      <c r="F7" s="10" t="n">
        <f aca="false">E7*0.8</f>
        <v>1088000</v>
      </c>
    </row>
    <row r="8" customFormat="false" ht="15" hidden="false" customHeight="false" outlineLevel="0" collapsed="false">
      <c r="A8" s="4" t="s">
        <v>26</v>
      </c>
      <c r="B8" s="10" t="n">
        <v>3950000</v>
      </c>
      <c r="C8" s="10" t="n">
        <v>1550000</v>
      </c>
      <c r="D8" s="10" t="n">
        <v>1070000</v>
      </c>
      <c r="E8" s="10" t="n">
        <f aca="false">B8-C8-D8</f>
        <v>1330000</v>
      </c>
      <c r="F8" s="10" t="n">
        <f aca="false">E8*0.8</f>
        <v>1064000</v>
      </c>
    </row>
    <row r="9" customFormat="false" ht="15" hidden="false" customHeight="false" outlineLevel="0" collapsed="false">
      <c r="A9" s="4" t="s">
        <v>27</v>
      </c>
      <c r="B9" s="10" t="n">
        <v>4100000</v>
      </c>
      <c r="C9" s="10" t="n">
        <v>1610000</v>
      </c>
      <c r="D9" s="10" t="n">
        <v>1090000</v>
      </c>
      <c r="E9" s="10" t="n">
        <f aca="false">B9-C9-D9</f>
        <v>1400000</v>
      </c>
      <c r="F9" s="10" t="n">
        <f aca="false">E9*0.8</f>
        <v>1120000</v>
      </c>
    </row>
    <row r="10" customFormat="false" ht="15" hidden="false" customHeight="false" outlineLevel="0" collapsed="false">
      <c r="A10" s="4" t="s">
        <v>28</v>
      </c>
      <c r="B10" s="10" t="n">
        <v>4180000</v>
      </c>
      <c r="C10" s="10" t="n">
        <v>1640000</v>
      </c>
      <c r="D10" s="10" t="n">
        <v>1100000</v>
      </c>
      <c r="E10" s="10" t="n">
        <f aca="false">B10-C10-D10</f>
        <v>1440000</v>
      </c>
      <c r="F10" s="10" t="n">
        <f aca="false">E10*0.8</f>
        <v>1152000</v>
      </c>
    </row>
    <row r="11" customFormat="false" ht="15" hidden="false" customHeight="false" outlineLevel="0" collapsed="false">
      <c r="A11" s="4" t="s">
        <v>29</v>
      </c>
      <c r="B11" s="10" t="n">
        <v>4250000</v>
      </c>
      <c r="C11" s="10" t="n">
        <v>1670000</v>
      </c>
      <c r="D11" s="10" t="n">
        <v>1110000</v>
      </c>
      <c r="E11" s="10" t="n">
        <f aca="false">B11-C11-D11</f>
        <v>1470000</v>
      </c>
      <c r="F11" s="10" t="n">
        <f aca="false">E11*0.8</f>
        <v>1176000</v>
      </c>
    </row>
    <row r="12" customFormat="false" ht="15" hidden="false" customHeight="false" outlineLevel="0" collapsed="false">
      <c r="A12" s="4" t="s">
        <v>30</v>
      </c>
      <c r="B12" s="10" t="n">
        <v>4200000</v>
      </c>
      <c r="C12" s="10" t="n">
        <v>1650000</v>
      </c>
      <c r="D12" s="10" t="n">
        <v>1105000</v>
      </c>
      <c r="E12" s="10" t="n">
        <f aca="false">B12-C12-D12</f>
        <v>1445000</v>
      </c>
      <c r="F12" s="10" t="n">
        <f aca="false">E12*0.8</f>
        <v>1156000</v>
      </c>
    </row>
    <row r="13" customFormat="false" ht="15" hidden="false" customHeight="false" outlineLevel="0" collapsed="false">
      <c r="A13" s="4" t="s">
        <v>31</v>
      </c>
      <c r="B13" s="10" t="n">
        <v>4380000</v>
      </c>
      <c r="C13" s="10" t="n">
        <v>1720000</v>
      </c>
      <c r="D13" s="10" t="n">
        <v>1130000</v>
      </c>
      <c r="E13" s="10" t="n">
        <f aca="false">B13-C13-D13</f>
        <v>1530000</v>
      </c>
      <c r="F13" s="10" t="n">
        <f aca="false">E13*0.8</f>
        <v>1224000</v>
      </c>
    </row>
    <row r="14" customFormat="false" ht="15" hidden="false" customHeight="false" outlineLevel="0" collapsed="false">
      <c r="A14" s="4" t="s">
        <v>32</v>
      </c>
      <c r="B14" s="10" t="n">
        <v>4460000</v>
      </c>
      <c r="C14" s="10" t="n">
        <v>1750000</v>
      </c>
      <c r="D14" s="10" t="n">
        <v>1140000</v>
      </c>
      <c r="E14" s="10" t="n">
        <f aca="false">B14-C14-D14</f>
        <v>1570000</v>
      </c>
      <c r="F14" s="10" t="n">
        <f aca="false">E14*0.8</f>
        <v>1256000</v>
      </c>
    </row>
    <row r="15" customFormat="false" ht="15" hidden="false" customHeight="false" outlineLevel="0" collapsed="false">
      <c r="A15" s="4" t="s">
        <v>33</v>
      </c>
      <c r="B15" s="10" t="n">
        <v>4550000</v>
      </c>
      <c r="C15" s="10" t="n">
        <v>1790000</v>
      </c>
      <c r="D15" s="10" t="n">
        <v>1155000</v>
      </c>
      <c r="E15" s="10" t="n">
        <f aca="false">B15-C15-D15</f>
        <v>1605000</v>
      </c>
      <c r="F15" s="10" t="n">
        <f aca="false">E15*0.8</f>
        <v>1284000</v>
      </c>
    </row>
    <row r="16" customFormat="false" ht="15" hidden="false" customHeight="false" outlineLevel="0" collapsed="false">
      <c r="A16" s="4" t="s">
        <v>34</v>
      </c>
      <c r="B16" s="10" t="n">
        <v>4650000</v>
      </c>
      <c r="C16" s="10" t="n">
        <v>1830000</v>
      </c>
      <c r="D16" s="10" t="n">
        <v>1170000</v>
      </c>
      <c r="E16" s="10" t="n">
        <f aca="false">B16-C16-D16</f>
        <v>1650000</v>
      </c>
      <c r="F16" s="10" t="n">
        <f aca="false">E16*0.8</f>
        <v>1320000</v>
      </c>
    </row>
    <row r="17" customFormat="false" ht="15" hidden="false" customHeight="false" outlineLevel="0" collapsed="false">
      <c r="A17" s="7" t="s">
        <v>35</v>
      </c>
      <c r="B17" s="8" t="n">
        <f aca="false">SUM(B5:B16)</f>
        <v>50400000</v>
      </c>
      <c r="C17" s="8" t="n">
        <f aca="false">SUM(C5:C16)</f>
        <v>19810000</v>
      </c>
      <c r="D17" s="8" t="n">
        <f aca="false">SUM(D5:D16)</f>
        <v>13260000</v>
      </c>
      <c r="E17" s="8" t="n">
        <f aca="false">SUM(E5:E16)</f>
        <v>17330000</v>
      </c>
      <c r="F17" s="8" t="n">
        <f aca="false">SUM(F5:F16)</f>
        <v>13864000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22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3" t="s">
        <v>38</v>
      </c>
      <c r="B4" s="3" t="s">
        <v>39</v>
      </c>
      <c r="C4" s="3" t="s">
        <v>40</v>
      </c>
    </row>
    <row r="5" customFormat="false" ht="15" hidden="false" customHeight="false" outlineLevel="0" collapsed="false">
      <c r="A5" s="4" t="s">
        <v>41</v>
      </c>
      <c r="B5" s="4" t="s">
        <v>42</v>
      </c>
      <c r="C5" s="10" t="n">
        <f aca="false">'DRE 2026'!B7</f>
        <v>48050000</v>
      </c>
    </row>
    <row r="6" customFormat="false" ht="15" hidden="false" customHeight="false" outlineLevel="0" collapsed="false">
      <c r="A6" s="4" t="s">
        <v>43</v>
      </c>
      <c r="B6" s="4" t="s">
        <v>44</v>
      </c>
      <c r="C6" s="10" t="n">
        <f aca="false">AVERAGE('Comparativo Mensal'!B5:B16)</f>
        <v>4200000</v>
      </c>
    </row>
    <row r="7" customFormat="false" ht="15" hidden="false" customHeight="false" outlineLevel="0" collapsed="false">
      <c r="A7" s="4" t="s">
        <v>45</v>
      </c>
      <c r="B7" s="4" t="s">
        <v>46</v>
      </c>
      <c r="C7" s="11" t="n">
        <v>0.168</v>
      </c>
    </row>
    <row r="8" customFormat="false" ht="15" hidden="false" customHeight="false" outlineLevel="0" collapsed="false">
      <c r="A8" s="4" t="s">
        <v>47</v>
      </c>
      <c r="B8" s="4" t="s">
        <v>48</v>
      </c>
      <c r="C8" s="6" t="n">
        <f aca="false">'DRE 2026'!B9/'DRE 2026'!B7</f>
        <v>0.606243496357961</v>
      </c>
    </row>
    <row r="9" customFormat="false" ht="15" hidden="false" customHeight="false" outlineLevel="0" collapsed="false">
      <c r="A9" s="4" t="s">
        <v>49</v>
      </c>
      <c r="B9" s="4" t="s">
        <v>50</v>
      </c>
      <c r="C9" s="6" t="n">
        <f aca="false">'DRE 2026'!B13/'DRE 2026'!B7</f>
        <v>0.340894901144641</v>
      </c>
    </row>
    <row r="10" customFormat="false" ht="15" hidden="false" customHeight="false" outlineLevel="0" collapsed="false">
      <c r="A10" s="4" t="s">
        <v>51</v>
      </c>
      <c r="B10" s="4" t="s">
        <v>52</v>
      </c>
      <c r="C10" s="6" t="n">
        <f aca="false">'DRE 2026'!B15/'DRE 2026'!B7</f>
        <v>0.27741935483871</v>
      </c>
    </row>
    <row r="11" customFormat="false" ht="15" hidden="false" customHeight="false" outlineLevel="0" collapsed="false">
      <c r="A11" s="4" t="s">
        <v>53</v>
      </c>
      <c r="B11" s="4" t="s">
        <v>54</v>
      </c>
      <c r="C11" s="10" t="n">
        <f aca="false">'DRE 2026'!B13+2100000</f>
        <v>18480000</v>
      </c>
    </row>
    <row r="12" customFormat="false" ht="15" hidden="false" customHeight="false" outlineLevel="0" collapsed="false">
      <c r="A12" s="4" t="s">
        <v>55</v>
      </c>
      <c r="B12" s="4" t="s">
        <v>56</v>
      </c>
      <c r="C12" s="10" t="n">
        <f aca="false">'DRE 2026'!B7/1850</f>
        <v>25972.972972973</v>
      </c>
    </row>
    <row r="13" customFormat="false" ht="15" hidden="false" customHeight="false" outlineLevel="0" collapsed="false">
      <c r="A13" s="4" t="s">
        <v>57</v>
      </c>
      <c r="B13" s="4" t="s">
        <v>58</v>
      </c>
      <c r="C13" s="10" t="n">
        <f aca="false">'DRE 2026'!B7/420</f>
        <v>114404.761904762</v>
      </c>
    </row>
    <row r="14" customFormat="false" ht="15" hidden="false" customHeight="false" outlineLevel="0" collapsed="false">
      <c r="A14" s="4" t="s">
        <v>59</v>
      </c>
      <c r="B14" s="4" t="s">
        <v>60</v>
      </c>
      <c r="C14" s="10" t="n">
        <f aca="false">AVERAGE('Comparativo Mensal'!C5:C16)</f>
        <v>1650833.33333333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41</v>
      </c>
      <c r="C4" s="3" t="s">
        <v>22</v>
      </c>
      <c r="E4" s="3" t="s">
        <v>43</v>
      </c>
      <c r="G4" s="3" t="s">
        <v>63</v>
      </c>
    </row>
    <row r="5" customFormat="false" ht="15" hidden="false" customHeight="false" outlineLevel="0" collapsed="false">
      <c r="A5" s="8" t="n">
        <f aca="false">'DRE 2026'!B7</f>
        <v>48050000</v>
      </c>
      <c r="C5" s="8" t="n">
        <f aca="false">'DRE 2026'!B15</f>
        <v>13330000</v>
      </c>
      <c r="E5" s="8" t="n">
        <f aca="false">'Indicadores Financeiros'!C6</f>
        <v>4200000</v>
      </c>
      <c r="G5" s="9" t="n">
        <f aca="false">'Indicadores Financeiros'!C7</f>
        <v>0.168</v>
      </c>
    </row>
    <row r="7" customFormat="false" ht="15" hidden="false" customHeight="false" outlineLevel="0" collapsed="false">
      <c r="A7" s="3" t="s">
        <v>64</v>
      </c>
      <c r="C7" s="3" t="s">
        <v>65</v>
      </c>
      <c r="E7" s="3" t="s">
        <v>66</v>
      </c>
      <c r="G7" s="3" t="s">
        <v>67</v>
      </c>
    </row>
    <row r="8" customFormat="false" ht="15" hidden="false" customHeight="false" outlineLevel="0" collapsed="false">
      <c r="A8" s="4" t="str">
        <f aca="false">INDEX('Comparativo Mensal'!A5:A16, MATCH(MAX('Comparativo Mensal'!B5:B16), 'Comparativo Mensal'!B5:B16, 0))</f>
        <v>Dezembro</v>
      </c>
      <c r="C8" s="4" t="str">
        <f aca="false">INDEX('Comparativo Mensal'!A5:A16, MATCH(MIN('Comparativo Mensal'!B5:B16), 'Comparativo Mensal'!B5:B16, 0))</f>
        <v>Janeiro</v>
      </c>
      <c r="E8" s="6" t="n">
        <f aca="false">-'DRE 2026'!B8/'DRE 2026'!B7</f>
        <v>0.39375650364204</v>
      </c>
      <c r="G8" s="6" t="n">
        <f aca="false">-SUM('DRE 2026'!B10:B12)/'DRE 2026'!B7</f>
        <v>0.265348595213319</v>
      </c>
    </row>
    <row r="10" customFormat="false" ht="15" hidden="false" customHeight="false" outlineLevel="0" collapsed="false">
      <c r="A10" s="12" t="s">
        <v>68</v>
      </c>
    </row>
    <row r="11" customFormat="false" ht="15" hidden="false" customHeight="false" outlineLevel="0" collapsed="false">
      <c r="A11" s="3" t="s">
        <v>2</v>
      </c>
      <c r="B11" s="3" t="s">
        <v>69</v>
      </c>
      <c r="C11" s="3" t="s">
        <v>70</v>
      </c>
    </row>
    <row r="12" customFormat="false" ht="15" hidden="false" customHeight="false" outlineLevel="0" collapsed="false">
      <c r="A12" s="4" t="s">
        <v>5</v>
      </c>
      <c r="B12" s="10" t="n">
        <f aca="false">'DRE 2026'!B5</f>
        <v>52800000</v>
      </c>
      <c r="C12" s="6" t="n">
        <f aca="false">B12/$B$13</f>
        <v>1.09885535900104</v>
      </c>
    </row>
    <row r="13" customFormat="false" ht="15" hidden="false" customHeight="false" outlineLevel="0" collapsed="false">
      <c r="A13" s="7" t="s">
        <v>7</v>
      </c>
      <c r="B13" s="8" t="n">
        <f aca="false">'DRE 2026'!B7</f>
        <v>48050000</v>
      </c>
      <c r="C13" s="9" t="n">
        <f aca="false">B13/$B$13</f>
        <v>1</v>
      </c>
    </row>
    <row r="14" customFormat="false" ht="15" hidden="false" customHeight="false" outlineLevel="0" collapsed="false">
      <c r="A14" s="4" t="s">
        <v>9</v>
      </c>
      <c r="B14" s="10" t="n">
        <f aca="false">'DRE 2026'!B9</f>
        <v>29130000</v>
      </c>
      <c r="C14" s="6" t="n">
        <f aca="false">B14/$B$13</f>
        <v>0.606243496357961</v>
      </c>
    </row>
    <row r="15" customFormat="false" ht="15" hidden="false" customHeight="false" outlineLevel="0" collapsed="false">
      <c r="A15" s="4" t="s">
        <v>13</v>
      </c>
      <c r="B15" s="10" t="n">
        <f aca="false">'DRE 2026'!B13</f>
        <v>16380000</v>
      </c>
      <c r="C15" s="6" t="n">
        <f aca="false">B15/$B$13</f>
        <v>0.340894901144641</v>
      </c>
    </row>
    <row r="16" customFormat="false" ht="15" hidden="false" customHeight="false" outlineLevel="0" collapsed="false">
      <c r="A16" s="4" t="s">
        <v>53</v>
      </c>
      <c r="B16" s="10" t="n">
        <f aca="false">'Indicadores Financeiros'!C11</f>
        <v>18480000</v>
      </c>
      <c r="C16" s="6" t="n">
        <f aca="false">B16/$B$13</f>
        <v>0.384599375650364</v>
      </c>
    </row>
    <row r="17" customFormat="false" ht="15" hidden="false" customHeight="false" outlineLevel="0" collapsed="false">
      <c r="A17" s="4" t="s">
        <v>22</v>
      </c>
      <c r="B17" s="10" t="n">
        <f aca="false">'DRE 2026'!B15</f>
        <v>13330000</v>
      </c>
      <c r="C17" s="6" t="n">
        <f aca="false">B17/$B$13</f>
        <v>0.27741935483871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2026-08-05T21:22:47Z</dcterms:created>
  <dc:creator>openpyxl</dc:creator>
  <dc:description/>
  <dc:language>en-US</dc:language>
  <cp:lastModifiedBy/>
  <dcterms:modified xsi:type="dcterms:W3CDTF">2026-08-05T21:22:47Z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